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isk_Register" sheetId="1" state="visible" r:id="rId3"/>
    <sheet name="Risk_Summary" sheetId="2" state="visible" r:id="rId4"/>
    <sheet name="Risk_Heatmap" sheetId="3" state="visible" r:id="rId5"/>
    <sheet name="Risk_Top10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<sst xmlns="http://schemas.openxmlformats.org/spreadsheetml/2006/main" count="327" uniqueCount="205">
  <si>
    <t xml:space="preserve">Risk ID</t>
  </si>
  <si>
    <t xml:space="preserve">Asset ID</t>
  </si>
  <si>
    <t xml:space="preserve">Asset Name</t>
  </si>
  <si>
    <t xml:space="preserve">Threat</t>
  </si>
  <si>
    <t xml:space="preserve">Vulnerability</t>
  </si>
  <si>
    <t xml:space="preserve">Existing Controls</t>
  </si>
  <si>
    <t xml:space="preserve">Likelihood</t>
  </si>
  <si>
    <t xml:space="preserve">Impact</t>
  </si>
  <si>
    <t xml:space="preserve">Treatment</t>
  </si>
  <si>
    <t xml:space="preserve">Risk Owner</t>
  </si>
  <si>
    <t xml:space="preserve">Status</t>
  </si>
  <si>
    <t xml:space="preserve">Score</t>
  </si>
  <si>
    <t xml:space="preserve">Level</t>
  </si>
  <si>
    <t xml:space="preserve">R001</t>
  </si>
  <si>
    <t xml:space="preserve">A001</t>
  </si>
  <si>
    <t xml:space="preserve">Customer Database</t>
  </si>
  <si>
    <t xml:space="preserve">Unauthorized access</t>
  </si>
  <si>
    <t xml:space="preserve">Excessive user privileges</t>
  </si>
  <si>
    <t xml:space="preserve">IAM, access reviews</t>
  </si>
  <si>
    <t xml:space="preserve">Mitigate</t>
  </si>
  <si>
    <t xml:space="preserve">Security Manager</t>
  </si>
  <si>
    <t xml:space="preserve">Open</t>
  </si>
  <si>
    <t xml:space="preserve">R002</t>
  </si>
  <si>
    <t xml:space="preserve">Data breach</t>
  </si>
  <si>
    <t xml:space="preserve">Weak database access controls</t>
  </si>
  <si>
    <t xml:space="preserve">Authentication, network controls</t>
  </si>
  <si>
    <t xml:space="preserve">DBA Manager</t>
  </si>
  <si>
    <t xml:space="preserve">High</t>
  </si>
  <si>
    <t xml:space="preserve">R003</t>
  </si>
  <si>
    <t xml:space="preserve">A006</t>
  </si>
  <si>
    <t xml:space="preserve">Source Code Repository</t>
  </si>
  <si>
    <t xml:space="preserve">Source code theft</t>
  </si>
  <si>
    <t xml:space="preserve">Excessive repository permissions</t>
  </si>
  <si>
    <t xml:space="preserve">Access control, MFA</t>
  </si>
  <si>
    <t xml:space="preserve">Engineering Manager</t>
  </si>
  <si>
    <t xml:space="preserve">R004</t>
  </si>
  <si>
    <t xml:space="preserve">A007</t>
  </si>
  <si>
    <t xml:space="preserve">Customer Web Portal</t>
  </si>
  <si>
    <t xml:space="preserve">Web application attack</t>
  </si>
  <si>
    <t xml:space="preserve">Application vulnerabilities</t>
  </si>
  <si>
    <t xml:space="preserve">Secure development practices</t>
  </si>
  <si>
    <t xml:space="preserve">R005</t>
  </si>
  <si>
    <t xml:space="preserve">A010</t>
  </si>
  <si>
    <t xml:space="preserve">AWS EC2 Servers</t>
  </si>
  <si>
    <t xml:space="preserve">Ransomware</t>
  </si>
  <si>
    <t xml:space="preserve">Unpatched systems</t>
  </si>
  <si>
    <t xml:space="preserve">Endpoint protection, patching</t>
  </si>
  <si>
    <t xml:space="preserve">Cloud Manager</t>
  </si>
  <si>
    <t xml:space="preserve">R006</t>
  </si>
  <si>
    <t xml:space="preserve">A011</t>
  </si>
  <si>
    <t xml:space="preserve">AWS RDS Database</t>
  </si>
  <si>
    <t xml:space="preserve">Data loss</t>
  </si>
  <si>
    <t xml:space="preserve">Inadequate backup/recovery</t>
  </si>
  <si>
    <t xml:space="preserve">Automated backups</t>
  </si>
  <si>
    <t xml:space="preserve">R007</t>
  </si>
  <si>
    <t xml:space="preserve">A013</t>
  </si>
  <si>
    <t xml:space="preserve">AWS IAM</t>
  </si>
  <si>
    <t xml:space="preserve">Account compromise</t>
  </si>
  <si>
    <t xml:space="preserve">Weak authentication</t>
  </si>
  <si>
    <t xml:space="preserve">MFA</t>
  </si>
  <si>
    <t xml:space="preserve">R008</t>
  </si>
  <si>
    <t xml:space="preserve">A014</t>
  </si>
  <si>
    <t xml:space="preserve">AWS CloudTrail Logs</t>
  </si>
  <si>
    <t xml:space="preserve">Log tampering</t>
  </si>
  <si>
    <t xml:space="preserve">Insufficient log protection</t>
  </si>
  <si>
    <t xml:space="preserve">Centralized logging</t>
  </si>
  <si>
    <t xml:space="preserve">Medium</t>
  </si>
  <si>
    <t xml:space="preserve">R009</t>
  </si>
  <si>
    <t xml:space="preserve">A021</t>
  </si>
  <si>
    <t xml:space="preserve">Payment Gateway Integration</t>
  </si>
  <si>
    <t xml:space="preserve">Third-party compromise</t>
  </si>
  <si>
    <t xml:space="preserve">Vendor security weaknesses</t>
  </si>
  <si>
    <t xml:space="preserve">Vendor assessment</t>
  </si>
  <si>
    <t xml:space="preserve">Operations Manager</t>
  </si>
  <si>
    <t xml:space="preserve">R010</t>
  </si>
  <si>
    <t xml:space="preserve">A016</t>
  </si>
  <si>
    <t xml:space="preserve">Employee Laptops</t>
  </si>
  <si>
    <t xml:space="preserve">Phishing</t>
  </si>
  <si>
    <t xml:space="preserve">Insufficient security awareness</t>
  </si>
  <si>
    <t xml:space="preserve">Antivirus, email filtering</t>
  </si>
  <si>
    <t xml:space="preserve">IT Manager</t>
  </si>
  <si>
    <t xml:space="preserve">R011</t>
  </si>
  <si>
    <t xml:space="preserve">A020</t>
  </si>
  <si>
    <t xml:space="preserve">Email System</t>
  </si>
  <si>
    <t xml:space="preserve">Business Email Compromise</t>
  </si>
  <si>
    <t xml:space="preserve">Weak phishing awareness</t>
  </si>
  <si>
    <t xml:space="preserve">Email filtering</t>
  </si>
  <si>
    <t xml:space="preserve">R012</t>
  </si>
  <si>
    <t xml:space="preserve">A022</t>
  </si>
  <si>
    <t xml:space="preserve">Identity Verification Service</t>
  </si>
  <si>
    <t xml:space="preserve">Third-party outage</t>
  </si>
  <si>
    <t xml:space="preserve">Vendor dependency</t>
  </si>
  <si>
    <t xml:space="preserve">SLA agreement</t>
  </si>
  <si>
    <t xml:space="preserve">Compliance Manager</t>
  </si>
  <si>
    <t xml:space="preserve">R013</t>
  </si>
  <si>
    <t xml:space="preserve">A017</t>
  </si>
  <si>
    <t xml:space="preserve">Backup Server</t>
  </si>
  <si>
    <t xml:space="preserve">Backup failure</t>
  </si>
  <si>
    <t xml:space="preserve">Lack of backup testing</t>
  </si>
  <si>
    <t xml:space="preserve">R014</t>
  </si>
  <si>
    <t xml:space="preserve">A015</t>
  </si>
  <si>
    <t xml:space="preserve">SIEM Platform</t>
  </si>
  <si>
    <t xml:space="preserve">Alert overload</t>
  </si>
  <si>
    <t xml:space="preserve">Poor tuning</t>
  </si>
  <si>
    <t xml:space="preserve">Monitoring rules</t>
  </si>
  <si>
    <t xml:space="preserve">R015</t>
  </si>
  <si>
    <t xml:space="preserve">A018</t>
  </si>
  <si>
    <t xml:space="preserve">Network Equipment</t>
  </si>
  <si>
    <t xml:space="preserve">Hardware failure</t>
  </si>
  <si>
    <t xml:space="preserve">Aging equipment</t>
  </si>
  <si>
    <t xml:space="preserve">Preventive maintenance</t>
  </si>
  <si>
    <t xml:space="preserve">R016</t>
  </si>
  <si>
    <t xml:space="preserve">A019</t>
  </si>
  <si>
    <t xml:space="preserve">MFA System</t>
  </si>
  <si>
    <t xml:space="preserve">Authentication failure</t>
  </si>
  <si>
    <t xml:space="preserve">Single point of failure</t>
  </si>
  <si>
    <t xml:space="preserve">Redundant systems</t>
  </si>
  <si>
    <t xml:space="preserve">R017</t>
  </si>
  <si>
    <t xml:space="preserve">DDoS attack</t>
  </si>
  <si>
    <t xml:space="preserve">Insufficient traffic filtering</t>
  </si>
  <si>
    <t xml:space="preserve">Basic firewall</t>
  </si>
  <si>
    <t xml:space="preserve">R018</t>
  </si>
  <si>
    <t xml:space="preserve">A008</t>
  </si>
  <si>
    <t xml:space="preserve">Mobile Application</t>
  </si>
  <si>
    <t xml:space="preserve">Sensitive data exposure</t>
  </si>
  <si>
    <t xml:space="preserve">Insecure storage</t>
  </si>
  <si>
    <t xml:space="preserve">Secure coding</t>
  </si>
  <si>
    <t xml:space="preserve">R019</t>
  </si>
  <si>
    <t xml:space="preserve">Insider threat</t>
  </si>
  <si>
    <t xml:space="preserve">Excessive privileges</t>
  </si>
  <si>
    <t xml:space="preserve">Access reviews</t>
  </si>
  <si>
    <t xml:space="preserve">R020</t>
  </si>
  <si>
    <t xml:space="preserve">A023</t>
  </si>
  <si>
    <t xml:space="preserve">Security Policies</t>
  </si>
  <si>
    <t xml:space="preserve">Non-compliance</t>
  </si>
  <si>
    <t xml:space="preserve">Outdated policies</t>
  </si>
  <si>
    <t xml:space="preserve">Annual review</t>
  </si>
  <si>
    <t xml:space="preserve">R021</t>
  </si>
  <si>
    <t xml:space="preserve">A024</t>
  </si>
  <si>
    <t xml:space="preserve">Audit Reports</t>
  </si>
  <si>
    <t xml:space="preserve">Unauthorized disclosure</t>
  </si>
  <si>
    <t xml:space="preserve">Improper access controls</t>
  </si>
  <si>
    <t xml:space="preserve">Document permissions</t>
  </si>
  <si>
    <t xml:space="preserve">R022</t>
  </si>
  <si>
    <t xml:space="preserve">GDPR violation</t>
  </si>
  <si>
    <t xml:space="preserve">Excessive data retention</t>
  </si>
  <si>
    <t xml:space="preserve">Data retention policy</t>
  </si>
  <si>
    <t xml:space="preserve">R023</t>
  </si>
  <si>
    <t xml:space="preserve">Transaction fraud</t>
  </si>
  <si>
    <t xml:space="preserve">Weak monitoring</t>
  </si>
  <si>
    <t xml:space="preserve">Fraud detection rules</t>
  </si>
  <si>
    <t xml:space="preserve">R024</t>
  </si>
  <si>
    <t xml:space="preserve">Cloud misconfiguration</t>
  </si>
  <si>
    <t xml:space="preserve">Human error</t>
  </si>
  <si>
    <t xml:space="preserve">Change management</t>
  </si>
  <si>
    <t xml:space="preserve">R025</t>
  </si>
  <si>
    <t xml:space="preserve">Privilege escalation</t>
  </si>
  <si>
    <t xml:space="preserve">Misconfigured permissions</t>
  </si>
  <si>
    <t xml:space="preserve">Role-based access</t>
  </si>
  <si>
    <t xml:space="preserve">R026</t>
  </si>
  <si>
    <t xml:space="preserve">Device theft</t>
  </si>
  <si>
    <t xml:space="preserve">Lack of encryption</t>
  </si>
  <si>
    <t xml:space="preserve">Endpoint security</t>
  </si>
  <si>
    <t xml:space="preserve">R027</t>
  </si>
  <si>
    <t xml:space="preserve">Malware infection</t>
  </si>
  <si>
    <t xml:space="preserve">Unsafe attachments</t>
  </si>
  <si>
    <t xml:space="preserve">Email security gateway</t>
  </si>
  <si>
    <t xml:space="preserve">R028</t>
  </si>
  <si>
    <t xml:space="preserve">A005</t>
  </si>
  <si>
    <t xml:space="preserve">Customer Contracts</t>
  </si>
  <si>
    <t xml:space="preserve">Data leakage</t>
  </si>
  <si>
    <t xml:space="preserve">Improper document handling</t>
  </si>
  <si>
    <t xml:space="preserve">Access restrictions</t>
  </si>
  <si>
    <t xml:space="preserve">Legal Manager</t>
  </si>
  <si>
    <t xml:space="preserve">R029</t>
  </si>
  <si>
    <t xml:space="preserve">Service outage</t>
  </si>
  <si>
    <t xml:space="preserve">Infrastructure failure</t>
  </si>
  <si>
    <t xml:space="preserve">High availability setup</t>
  </si>
  <si>
    <t xml:space="preserve">R030</t>
  </si>
  <si>
    <t xml:space="preserve">Ransomware impact</t>
  </si>
  <si>
    <t xml:space="preserve">Backup environment compromise</t>
  </si>
  <si>
    <t xml:space="preserve">Backup segregation</t>
  </si>
  <si>
    <t xml:space="preserve">Risk Level</t>
  </si>
  <si>
    <t xml:space="preserve">Number of Risks</t>
  </si>
  <si>
    <t xml:space="preserve">Critical</t>
  </si>
  <si>
    <t xml:space="preserve">Low</t>
  </si>
  <si>
    <t xml:space="preserve">Total</t>
  </si>
  <si>
    <t xml:space="preserve">Impact ↓ / Likelihood →</t>
  </si>
  <si>
    <t xml:space="preserve">5 Critical</t>
  </si>
  <si>
    <t xml:space="preserve">4 High</t>
  </si>
  <si>
    <t xml:space="preserve">3 Moderate</t>
  </si>
  <si>
    <t xml:space="preserve">2 Low</t>
  </si>
  <si>
    <t xml:space="preserve">1 Negligible</t>
  </si>
  <si>
    <t xml:space="preserve">Rank</t>
  </si>
  <si>
    <t xml:space="preserve">Risk</t>
  </si>
  <si>
    <t xml:space="preserve">Unauthorized Access to Customer Database</t>
  </si>
  <si>
    <t xml:space="preserve">Web Application Attack</t>
  </si>
  <si>
    <t xml:space="preserve">Cloud Misconfiguration</t>
  </si>
  <si>
    <t xml:space="preserve">Phishing Attack</t>
  </si>
  <si>
    <t xml:space="preserve">DDoS Attack</t>
  </si>
  <si>
    <t xml:space="preserve">GDPR Violation</t>
  </si>
  <si>
    <t xml:space="preserve">Transaction Fraud</t>
  </si>
  <si>
    <t xml:space="preserve">Database Outage</t>
  </si>
  <si>
    <t xml:space="preserve">Backup Compromise</t>
  </si>
  <si>
    <t xml:space="preserve">Privilege Escalation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</si>
</sst>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color rgb="FF000000"/>
      <name val="Aptos Narrow"/>
      <family val="0"/>
      <charset val="1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M31" activeCellId="0" sqref="M31"/>
    </sheetView>
  </sheetViews>
  <sheetFormatPr defaultColWidth="8.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n">
        <v>4</v>
      </c>
      <c r="H2" s="0" t="n">
        <v>5</v>
      </c>
      <c r="I2" s="0" t="s">
        <v>19</v>
      </c>
      <c r="J2" s="0" t="s">
        <v>20</v>
      </c>
      <c r="K2" s="0" t="s">
        <v>21</v>
      </c>
      <c r="L2" s="0" t="n">
        <f aca="false">G2*H2</f>
        <v>20</v>
      </c>
      <c r="M2" s="0" t="str">
        <f aca="false">IF(I2&lt;=5,"Low",IF(I2&lt;=10,"Medium",IF(I2&lt;=15,"High","Critical")))</f>
        <v>Critical</v>
      </c>
    </row>
    <row r="3" customFormat="false" ht="15" hidden="false" customHeight="false" outlineLevel="0" collapsed="false">
      <c r="A3" s="0" t="s">
        <v>22</v>
      </c>
      <c r="B3" s="0" t="s">
        <v>14</v>
      </c>
      <c r="C3" s="0" t="s">
        <v>15</v>
      </c>
      <c r="D3" s="0" t="s">
        <v>23</v>
      </c>
      <c r="E3" s="0" t="s">
        <v>24</v>
      </c>
      <c r="F3" s="0" t="s">
        <v>25</v>
      </c>
      <c r="G3" s="0" t="n">
        <v>3</v>
      </c>
      <c r="H3" s="0" t="n">
        <v>5</v>
      </c>
      <c r="I3" s="0" t="s">
        <v>19</v>
      </c>
      <c r="J3" s="0" t="s">
        <v>26</v>
      </c>
      <c r="K3" s="0" t="s">
        <v>21</v>
      </c>
      <c r="L3" s="0" t="n">
        <f aca="false">G3*H3</f>
        <v>15</v>
      </c>
      <c r="M3" s="0" t="s">
        <v>27</v>
      </c>
    </row>
    <row r="4" customFormat="false" ht="15" hidden="false" customHeight="false" outlineLevel="0" collapsed="false">
      <c r="A4" s="0" t="s">
        <v>28</v>
      </c>
      <c r="B4" s="0" t="s">
        <v>29</v>
      </c>
      <c r="C4" s="0" t="s">
        <v>30</v>
      </c>
      <c r="D4" s="0" t="s">
        <v>31</v>
      </c>
      <c r="E4" s="0" t="s">
        <v>32</v>
      </c>
      <c r="F4" s="0" t="s">
        <v>33</v>
      </c>
      <c r="G4" s="0" t="n">
        <v>3</v>
      </c>
      <c r="H4" s="0" t="n">
        <v>4</v>
      </c>
      <c r="I4" s="0" t="s">
        <v>19</v>
      </c>
      <c r="J4" s="0" t="s">
        <v>34</v>
      </c>
      <c r="K4" s="0" t="s">
        <v>21</v>
      </c>
      <c r="L4" s="0" t="n">
        <f aca="false">G4*H4</f>
        <v>12</v>
      </c>
      <c r="M4" s="0" t="s">
        <v>27</v>
      </c>
    </row>
    <row r="5" customFormat="false" ht="15" hidden="false" customHeight="false" outlineLevel="0" collapsed="false">
      <c r="A5" s="0" t="s">
        <v>35</v>
      </c>
      <c r="B5" s="0" t="s">
        <v>36</v>
      </c>
      <c r="C5" s="0" t="s">
        <v>37</v>
      </c>
      <c r="D5" s="0" t="s">
        <v>38</v>
      </c>
      <c r="E5" s="0" t="s">
        <v>39</v>
      </c>
      <c r="F5" s="0" t="s">
        <v>40</v>
      </c>
      <c r="G5" s="0" t="n">
        <v>4</v>
      </c>
      <c r="H5" s="0" t="n">
        <v>5</v>
      </c>
      <c r="I5" s="0" t="s">
        <v>19</v>
      </c>
      <c r="J5" s="0" t="s">
        <v>34</v>
      </c>
      <c r="K5" s="0" t="s">
        <v>21</v>
      </c>
      <c r="L5" s="0" t="n">
        <f aca="false">G5*H5</f>
        <v>20</v>
      </c>
      <c r="M5" s="0" t="str">
        <f aca="false">IF(I5&lt;=5,"Low",IF(I5&lt;=10,"Medium",IF(I5&lt;=15,"High","Critical")))</f>
        <v>Critical</v>
      </c>
    </row>
    <row r="6" customFormat="false" ht="15" hidden="false" customHeight="false" outlineLevel="0" collapsed="false">
      <c r="A6" s="0" t="s">
        <v>41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n">
        <v>3</v>
      </c>
      <c r="H6" s="0" t="n">
        <v>5</v>
      </c>
      <c r="I6" s="0" t="s">
        <v>19</v>
      </c>
      <c r="J6" s="0" t="s">
        <v>47</v>
      </c>
      <c r="K6" s="0" t="s">
        <v>21</v>
      </c>
      <c r="L6" s="0" t="n">
        <f aca="false">G6*H6</f>
        <v>15</v>
      </c>
      <c r="M6" s="0" t="s">
        <v>27</v>
      </c>
    </row>
    <row r="7" customFormat="false" ht="15" hidden="false" customHeight="false" outlineLevel="0" collapsed="false">
      <c r="A7" s="0" t="s">
        <v>48</v>
      </c>
      <c r="B7" s="0" t="s">
        <v>49</v>
      </c>
      <c r="C7" s="0" t="s">
        <v>50</v>
      </c>
      <c r="D7" s="0" t="s">
        <v>51</v>
      </c>
      <c r="E7" s="0" t="s">
        <v>52</v>
      </c>
      <c r="F7" s="0" t="s">
        <v>53</v>
      </c>
      <c r="G7" s="0" t="n">
        <v>3</v>
      </c>
      <c r="H7" s="0" t="n">
        <v>5</v>
      </c>
      <c r="I7" s="0" t="s">
        <v>19</v>
      </c>
      <c r="J7" s="0" t="s">
        <v>47</v>
      </c>
      <c r="K7" s="0" t="s">
        <v>21</v>
      </c>
      <c r="L7" s="0" t="n">
        <f aca="false">G7*H7</f>
        <v>15</v>
      </c>
      <c r="M7" s="0" t="s">
        <v>27</v>
      </c>
    </row>
    <row r="8" customFormat="false" ht="15" hidden="false" customHeight="false" outlineLevel="0" collapsed="false">
      <c r="A8" s="0" t="s">
        <v>54</v>
      </c>
      <c r="B8" s="0" t="s">
        <v>55</v>
      </c>
      <c r="C8" s="0" t="s">
        <v>56</v>
      </c>
      <c r="D8" s="0" t="s">
        <v>57</v>
      </c>
      <c r="E8" s="0" t="s">
        <v>58</v>
      </c>
      <c r="F8" s="0" t="s">
        <v>59</v>
      </c>
      <c r="G8" s="0" t="n">
        <v>3</v>
      </c>
      <c r="H8" s="0" t="n">
        <v>5</v>
      </c>
      <c r="I8" s="0" t="s">
        <v>19</v>
      </c>
      <c r="J8" s="0" t="s">
        <v>20</v>
      </c>
      <c r="K8" s="0" t="s">
        <v>21</v>
      </c>
      <c r="L8" s="0" t="n">
        <f aca="false">G8*H8</f>
        <v>15</v>
      </c>
      <c r="M8" s="0" t="s">
        <v>27</v>
      </c>
    </row>
    <row r="9" customFormat="false" ht="15" hidden="false" customHeight="false" outlineLevel="0" collapsed="false">
      <c r="A9" s="0" t="s">
        <v>60</v>
      </c>
      <c r="B9" s="0" t="s">
        <v>61</v>
      </c>
      <c r="C9" s="0" t="s">
        <v>62</v>
      </c>
      <c r="D9" s="0" t="s">
        <v>63</v>
      </c>
      <c r="E9" s="0" t="s">
        <v>64</v>
      </c>
      <c r="F9" s="0" t="s">
        <v>65</v>
      </c>
      <c r="G9" s="0" t="n">
        <v>2</v>
      </c>
      <c r="H9" s="0" t="n">
        <v>4</v>
      </c>
      <c r="I9" s="0" t="s">
        <v>19</v>
      </c>
      <c r="J9" s="0" t="s">
        <v>20</v>
      </c>
      <c r="K9" s="0" t="s">
        <v>21</v>
      </c>
      <c r="L9" s="0" t="n">
        <f aca="false">G9*H9</f>
        <v>8</v>
      </c>
      <c r="M9" s="0" t="s">
        <v>66</v>
      </c>
    </row>
    <row r="10" customFormat="false" ht="15" hidden="false" customHeight="false" outlineLevel="0" collapsed="false">
      <c r="A10" s="0" t="s">
        <v>67</v>
      </c>
      <c r="B10" s="0" t="s">
        <v>68</v>
      </c>
      <c r="C10" s="0" t="s">
        <v>69</v>
      </c>
      <c r="D10" s="0" t="s">
        <v>70</v>
      </c>
      <c r="E10" s="0" t="s">
        <v>71</v>
      </c>
      <c r="F10" s="0" t="s">
        <v>72</v>
      </c>
      <c r="G10" s="0" t="n">
        <v>3</v>
      </c>
      <c r="H10" s="0" t="n">
        <v>5</v>
      </c>
      <c r="I10" s="0" t="s">
        <v>19</v>
      </c>
      <c r="J10" s="0" t="s">
        <v>73</v>
      </c>
      <c r="K10" s="0" t="s">
        <v>21</v>
      </c>
      <c r="L10" s="0" t="n">
        <f aca="false">G10*H10</f>
        <v>15</v>
      </c>
      <c r="M10" s="0" t="s">
        <v>27</v>
      </c>
    </row>
    <row r="11" customFormat="false" ht="15" hidden="false" customHeight="false" outlineLevel="0" collapsed="false">
      <c r="A11" s="0" t="s">
        <v>74</v>
      </c>
      <c r="B11" s="0" t="s">
        <v>75</v>
      </c>
      <c r="C11" s="0" t="s">
        <v>76</v>
      </c>
      <c r="D11" s="0" t="s">
        <v>77</v>
      </c>
      <c r="E11" s="0" t="s">
        <v>78</v>
      </c>
      <c r="F11" s="0" t="s">
        <v>79</v>
      </c>
      <c r="G11" s="0" t="n">
        <v>4</v>
      </c>
      <c r="H11" s="0" t="n">
        <v>4</v>
      </c>
      <c r="I11" s="0" t="s">
        <v>19</v>
      </c>
      <c r="J11" s="0" t="s">
        <v>80</v>
      </c>
      <c r="K11" s="0" t="s">
        <v>21</v>
      </c>
      <c r="L11" s="0" t="n">
        <f aca="false">G11*H11</f>
        <v>16</v>
      </c>
      <c r="M11" s="0" t="str">
        <f aca="false">IF(I11&lt;=5,"Low",IF(I11&lt;=10,"Medium",IF(I11&lt;=15,"High","Critical")))</f>
        <v>Critical</v>
      </c>
    </row>
    <row r="12" customFormat="false" ht="52.8" hidden="false" customHeight="false" outlineLevel="0" collapsed="false">
      <c r="A12" s="3" t="s">
        <v>81</v>
      </c>
      <c r="B12" s="3" t="s">
        <v>82</v>
      </c>
      <c r="C12" s="3" t="s">
        <v>83</v>
      </c>
      <c r="D12" s="3" t="s">
        <v>84</v>
      </c>
      <c r="E12" s="3" t="s">
        <v>85</v>
      </c>
      <c r="F12" s="3" t="s">
        <v>86</v>
      </c>
      <c r="G12" s="3" t="n">
        <v>4</v>
      </c>
      <c r="H12" s="3" t="n">
        <v>4</v>
      </c>
      <c r="I12" s="3" t="s">
        <v>19</v>
      </c>
      <c r="J12" s="3" t="s">
        <v>80</v>
      </c>
      <c r="K12" s="3" t="s">
        <v>21</v>
      </c>
      <c r="L12" s="0" t="n">
        <f aca="false">G12*H12</f>
        <v>16</v>
      </c>
      <c r="M12" s="4" t="str">
        <f aca="false">IF(I11&lt;=5,"Low",IF(I11&lt;=10,"Medium",IF(I11&lt;=15,"High","Critical")))</f>
        <v>Critical</v>
      </c>
    </row>
    <row r="13" customFormat="false" ht="39.85" hidden="false" customHeight="false" outlineLevel="0" collapsed="false">
      <c r="A13" s="3" t="s">
        <v>87</v>
      </c>
      <c r="B13" s="3" t="s">
        <v>88</v>
      </c>
      <c r="C13" s="3" t="s">
        <v>89</v>
      </c>
      <c r="D13" s="3" t="s">
        <v>90</v>
      </c>
      <c r="E13" s="3" t="s">
        <v>91</v>
      </c>
      <c r="F13" s="3" t="s">
        <v>92</v>
      </c>
      <c r="G13" s="3" t="n">
        <v>3</v>
      </c>
      <c r="H13" s="3" t="n">
        <v>4</v>
      </c>
      <c r="I13" s="3" t="s">
        <v>19</v>
      </c>
      <c r="J13" s="3" t="s">
        <v>93</v>
      </c>
      <c r="K13" s="3" t="s">
        <v>21</v>
      </c>
      <c r="L13" s="0" t="n">
        <f aca="false">G13*H13</f>
        <v>12</v>
      </c>
      <c r="M13" s="4" t="str">
        <f aca="false">IF(I11&lt;=5,"Low",IF(I11&lt;=10,"Medium",IF(I11&lt;=15,"High","Critical")))</f>
        <v>Critical</v>
      </c>
    </row>
    <row r="14" customFormat="false" ht="39.85" hidden="false" customHeight="false" outlineLevel="0" collapsed="false">
      <c r="A14" s="3" t="s">
        <v>94</v>
      </c>
      <c r="B14" s="3" t="s">
        <v>95</v>
      </c>
      <c r="C14" s="3" t="s">
        <v>96</v>
      </c>
      <c r="D14" s="3" t="s">
        <v>97</v>
      </c>
      <c r="E14" s="3" t="s">
        <v>98</v>
      </c>
      <c r="F14" s="3" t="s">
        <v>53</v>
      </c>
      <c r="G14" s="3" t="n">
        <v>3</v>
      </c>
      <c r="H14" s="3" t="n">
        <v>5</v>
      </c>
      <c r="I14" s="3" t="s">
        <v>19</v>
      </c>
      <c r="J14" s="3" t="s">
        <v>80</v>
      </c>
      <c r="K14" s="3" t="s">
        <v>21</v>
      </c>
      <c r="L14" s="0" t="n">
        <f aca="false">G14*H14</f>
        <v>15</v>
      </c>
      <c r="M14" s="4" t="str">
        <f aca="false">IF(I11&lt;=5,"Low",IF(I11&lt;=10,"Medium",IF(I11&lt;=15,"High","Critical")))</f>
        <v>Critical</v>
      </c>
    </row>
    <row r="15" customFormat="false" ht="26.95" hidden="false" customHeight="false" outlineLevel="0" collapsed="false">
      <c r="A15" s="3" t="s">
        <v>99</v>
      </c>
      <c r="B15" s="3" t="s">
        <v>100</v>
      </c>
      <c r="C15" s="3" t="s">
        <v>101</v>
      </c>
      <c r="D15" s="3" t="s">
        <v>102</v>
      </c>
      <c r="E15" s="3" t="s">
        <v>103</v>
      </c>
      <c r="F15" s="3" t="s">
        <v>104</v>
      </c>
      <c r="G15" s="3" t="n">
        <v>3</v>
      </c>
      <c r="H15" s="3" t="n">
        <v>3</v>
      </c>
      <c r="I15" s="3" t="s">
        <v>19</v>
      </c>
      <c r="J15" s="3" t="s">
        <v>20</v>
      </c>
      <c r="K15" s="3" t="s">
        <v>21</v>
      </c>
      <c r="L15" s="0" t="n">
        <f aca="false">G15*H15</f>
        <v>9</v>
      </c>
      <c r="M15" s="4" t="str">
        <f aca="false">IF(I11&lt;=5,"Low",IF(I11&lt;=10,"Medium",IF(I11&lt;=15,"High","Critical")))</f>
        <v>Critical</v>
      </c>
    </row>
    <row r="16" customFormat="false" ht="52.8" hidden="false" customHeight="false" outlineLevel="0" collapsed="false">
      <c r="A16" s="3" t="s">
        <v>105</v>
      </c>
      <c r="B16" s="3" t="s">
        <v>106</v>
      </c>
      <c r="C16" s="3" t="s">
        <v>107</v>
      </c>
      <c r="D16" s="3" t="s">
        <v>108</v>
      </c>
      <c r="E16" s="3" t="s">
        <v>109</v>
      </c>
      <c r="F16" s="3" t="s">
        <v>110</v>
      </c>
      <c r="G16" s="3" t="n">
        <v>2</v>
      </c>
      <c r="H16" s="3" t="n">
        <v>4</v>
      </c>
      <c r="I16" s="3" t="s">
        <v>19</v>
      </c>
      <c r="J16" s="3" t="s">
        <v>80</v>
      </c>
      <c r="K16" s="3" t="s">
        <v>21</v>
      </c>
      <c r="L16" s="0" t="n">
        <f aca="false">G16*H16</f>
        <v>8</v>
      </c>
      <c r="M16" s="4" t="str">
        <f aca="false">IF(I11&lt;=5,"Low",IF(I11&lt;=10,"Medium",IF(I11&lt;=15,"High","Critical")))</f>
        <v>Critical</v>
      </c>
    </row>
    <row r="17" customFormat="false" ht="39.85" hidden="false" customHeight="false" outlineLevel="0" collapsed="false">
      <c r="A17" s="3" t="s">
        <v>111</v>
      </c>
      <c r="B17" s="3" t="s">
        <v>112</v>
      </c>
      <c r="C17" s="3" t="s">
        <v>113</v>
      </c>
      <c r="D17" s="3" t="s">
        <v>114</v>
      </c>
      <c r="E17" s="3" t="s">
        <v>115</v>
      </c>
      <c r="F17" s="3" t="s">
        <v>116</v>
      </c>
      <c r="G17" s="3" t="n">
        <v>2</v>
      </c>
      <c r="H17" s="3" t="n">
        <v>5</v>
      </c>
      <c r="I17" s="3" t="s">
        <v>19</v>
      </c>
      <c r="J17" s="3" t="s">
        <v>20</v>
      </c>
      <c r="K17" s="3" t="s">
        <v>21</v>
      </c>
      <c r="L17" s="0" t="n">
        <f aca="false">G17*H17</f>
        <v>10</v>
      </c>
      <c r="M17" s="4" t="str">
        <f aca="false">IF(I11&lt;=5,"Low",IF(I11&lt;=10,"Medium",IF(I11&lt;=15,"High","Critical")))</f>
        <v>Critical</v>
      </c>
    </row>
    <row r="18" customFormat="false" ht="39.85" hidden="false" customHeight="false" outlineLevel="0" collapsed="false">
      <c r="A18" s="3" t="s">
        <v>117</v>
      </c>
      <c r="B18" s="3" t="s">
        <v>36</v>
      </c>
      <c r="C18" s="3" t="s">
        <v>37</v>
      </c>
      <c r="D18" s="3" t="s">
        <v>118</v>
      </c>
      <c r="E18" s="3" t="s">
        <v>119</v>
      </c>
      <c r="F18" s="3" t="s">
        <v>120</v>
      </c>
      <c r="G18" s="3" t="n">
        <v>3</v>
      </c>
      <c r="H18" s="3" t="n">
        <v>5</v>
      </c>
      <c r="I18" s="3" t="s">
        <v>19</v>
      </c>
      <c r="J18" s="3" t="s">
        <v>34</v>
      </c>
      <c r="K18" s="3" t="s">
        <v>21</v>
      </c>
      <c r="L18" s="0" t="n">
        <f aca="false">G18*H18</f>
        <v>15</v>
      </c>
      <c r="M18" s="4" t="str">
        <f aca="false">IF(I11&lt;=5,"Low",IF(I11&lt;=10,"Medium",IF(I11&lt;=15,"High","Critical")))</f>
        <v>Critical</v>
      </c>
    </row>
    <row r="19" customFormat="false" ht="39.85" hidden="false" customHeight="false" outlineLevel="0" collapsed="false">
      <c r="A19" s="3" t="s">
        <v>121</v>
      </c>
      <c r="B19" s="3" t="s">
        <v>122</v>
      </c>
      <c r="C19" s="3" t="s">
        <v>123</v>
      </c>
      <c r="D19" s="3" t="s">
        <v>124</v>
      </c>
      <c r="E19" s="3" t="s">
        <v>125</v>
      </c>
      <c r="F19" s="3" t="s">
        <v>126</v>
      </c>
      <c r="G19" s="3" t="n">
        <v>3</v>
      </c>
      <c r="H19" s="3" t="n">
        <v>5</v>
      </c>
      <c r="I19" s="3" t="s">
        <v>19</v>
      </c>
      <c r="J19" s="3" t="s">
        <v>34</v>
      </c>
      <c r="K19" s="3" t="s">
        <v>21</v>
      </c>
      <c r="L19" s="0" t="n">
        <f aca="false">G19*H19</f>
        <v>15</v>
      </c>
      <c r="M19" s="4" t="str">
        <f aca="false">IF(I11&lt;=5,"Low",IF(I11&lt;=10,"Medium",IF(I11&lt;=15,"High","Critical")))</f>
        <v>Critical</v>
      </c>
    </row>
    <row r="20" customFormat="false" ht="52.8" hidden="false" customHeight="false" outlineLevel="0" collapsed="false">
      <c r="A20" s="3" t="s">
        <v>127</v>
      </c>
      <c r="B20" s="3" t="s">
        <v>29</v>
      </c>
      <c r="C20" s="3" t="s">
        <v>30</v>
      </c>
      <c r="D20" s="3" t="s">
        <v>128</v>
      </c>
      <c r="E20" s="3" t="s">
        <v>129</v>
      </c>
      <c r="F20" s="3" t="s">
        <v>130</v>
      </c>
      <c r="G20" s="3" t="n">
        <v>3</v>
      </c>
      <c r="H20" s="3" t="n">
        <v>4</v>
      </c>
      <c r="I20" s="3" t="s">
        <v>19</v>
      </c>
      <c r="J20" s="3" t="s">
        <v>34</v>
      </c>
      <c r="K20" s="3" t="s">
        <v>21</v>
      </c>
      <c r="L20" s="0" t="n">
        <f aca="false">G20*H20</f>
        <v>12</v>
      </c>
      <c r="M20" s="4" t="str">
        <f aca="false">IF(I11&lt;=5,"Low",IF(I11&lt;=10,"Medium",IF(I11&lt;=15,"High","Critical")))</f>
        <v>Critical</v>
      </c>
    </row>
    <row r="21" customFormat="false" ht="39.85" hidden="false" customHeight="false" outlineLevel="0" collapsed="false">
      <c r="A21" s="3" t="s">
        <v>131</v>
      </c>
      <c r="B21" s="3" t="s">
        <v>132</v>
      </c>
      <c r="C21" s="3" t="s">
        <v>133</v>
      </c>
      <c r="D21" s="3" t="s">
        <v>134</v>
      </c>
      <c r="E21" s="3" t="s">
        <v>135</v>
      </c>
      <c r="F21" s="3" t="s">
        <v>136</v>
      </c>
      <c r="G21" s="3" t="n">
        <v>3</v>
      </c>
      <c r="H21" s="3" t="n">
        <v>4</v>
      </c>
      <c r="I21" s="3" t="s">
        <v>19</v>
      </c>
      <c r="J21" s="3" t="s">
        <v>93</v>
      </c>
      <c r="K21" s="3" t="s">
        <v>21</v>
      </c>
      <c r="L21" s="0" t="n">
        <f aca="false">G21*H21</f>
        <v>12</v>
      </c>
      <c r="M21" s="4" t="str">
        <f aca="false">IF(I11&lt;=5,"Low",IF(I11&lt;=10,"Medium",IF(I11&lt;=15,"High","Critical")))</f>
        <v>Critical</v>
      </c>
    </row>
    <row r="22" customFormat="false" ht="52.8" hidden="false" customHeight="false" outlineLevel="0" collapsed="false">
      <c r="A22" s="3" t="s">
        <v>137</v>
      </c>
      <c r="B22" s="3" t="s">
        <v>138</v>
      </c>
      <c r="C22" s="3" t="s">
        <v>139</v>
      </c>
      <c r="D22" s="3" t="s">
        <v>140</v>
      </c>
      <c r="E22" s="3" t="s">
        <v>141</v>
      </c>
      <c r="F22" s="3" t="s">
        <v>142</v>
      </c>
      <c r="G22" s="3" t="n">
        <v>2</v>
      </c>
      <c r="H22" s="3" t="n">
        <v>4</v>
      </c>
      <c r="I22" s="3" t="s">
        <v>19</v>
      </c>
      <c r="J22" s="3" t="s">
        <v>93</v>
      </c>
      <c r="K22" s="3" t="s">
        <v>21</v>
      </c>
      <c r="L22" s="0" t="n">
        <f aca="false">G22*H22</f>
        <v>8</v>
      </c>
      <c r="M22" s="4" t="str">
        <f aca="false">IF(I11&lt;=5,"Low",IF(I11&lt;=10,"Medium",IF(I11&lt;=15,"High","Critical")))</f>
        <v>Critical</v>
      </c>
    </row>
    <row r="23" customFormat="false" ht="39.85" hidden="false" customHeight="false" outlineLevel="0" collapsed="false">
      <c r="A23" s="3" t="s">
        <v>143</v>
      </c>
      <c r="B23" s="3" t="s">
        <v>14</v>
      </c>
      <c r="C23" s="3" t="s">
        <v>15</v>
      </c>
      <c r="D23" s="3" t="s">
        <v>144</v>
      </c>
      <c r="E23" s="3" t="s">
        <v>145</v>
      </c>
      <c r="F23" s="3" t="s">
        <v>146</v>
      </c>
      <c r="G23" s="3" t="n">
        <v>3</v>
      </c>
      <c r="H23" s="3" t="n">
        <v>5</v>
      </c>
      <c r="I23" s="3" t="s">
        <v>19</v>
      </c>
      <c r="J23" s="3" t="s">
        <v>93</v>
      </c>
      <c r="K23" s="3" t="s">
        <v>21</v>
      </c>
      <c r="L23" s="0" t="n">
        <f aca="false">G23*H23</f>
        <v>15</v>
      </c>
      <c r="M23" s="4" t="str">
        <f aca="false">IF(I11&lt;=5,"Low",IF(I11&lt;=10,"Medium",IF(I11&lt;=15,"High","Critical")))</f>
        <v>Critical</v>
      </c>
    </row>
    <row r="24" customFormat="false" ht="52.8" hidden="false" customHeight="false" outlineLevel="0" collapsed="false">
      <c r="A24" s="3" t="s">
        <v>147</v>
      </c>
      <c r="B24" s="3" t="s">
        <v>68</v>
      </c>
      <c r="C24" s="3" t="s">
        <v>69</v>
      </c>
      <c r="D24" s="3" t="s">
        <v>148</v>
      </c>
      <c r="E24" s="3" t="s">
        <v>149</v>
      </c>
      <c r="F24" s="3" t="s">
        <v>150</v>
      </c>
      <c r="G24" s="3" t="n">
        <v>3</v>
      </c>
      <c r="H24" s="3" t="n">
        <v>5</v>
      </c>
      <c r="I24" s="3" t="s">
        <v>19</v>
      </c>
      <c r="J24" s="3" t="s">
        <v>73</v>
      </c>
      <c r="K24" s="3" t="s">
        <v>21</v>
      </c>
      <c r="L24" s="0" t="n">
        <f aca="false">G24*H24</f>
        <v>15</v>
      </c>
      <c r="M24" s="4" t="str">
        <f aca="false">IF(I11&lt;=5,"Low",IF(I11&lt;=10,"Medium",IF(I11&lt;=15,"High","Critical")))</f>
        <v>Critical</v>
      </c>
    </row>
    <row r="25" customFormat="false" ht="39.85" hidden="false" customHeight="false" outlineLevel="0" collapsed="false">
      <c r="A25" s="3" t="s">
        <v>151</v>
      </c>
      <c r="B25" s="3" t="s">
        <v>42</v>
      </c>
      <c r="C25" s="3" t="s">
        <v>43</v>
      </c>
      <c r="D25" s="3" t="s">
        <v>152</v>
      </c>
      <c r="E25" s="3" t="s">
        <v>153</v>
      </c>
      <c r="F25" s="3" t="s">
        <v>154</v>
      </c>
      <c r="G25" s="3" t="n">
        <v>4</v>
      </c>
      <c r="H25" s="3" t="n">
        <v>5</v>
      </c>
      <c r="I25" s="3" t="s">
        <v>19</v>
      </c>
      <c r="J25" s="3" t="s">
        <v>47</v>
      </c>
      <c r="K25" s="3" t="s">
        <v>21</v>
      </c>
      <c r="L25" s="0" t="n">
        <f aca="false">G25*H25</f>
        <v>20</v>
      </c>
      <c r="M25" s="4" t="str">
        <f aca="false">IF(I11&lt;=5,"Low",IF(I11&lt;=10,"Medium",IF(I11&lt;=15,"High","Critical")))</f>
        <v>Critical</v>
      </c>
    </row>
    <row r="26" customFormat="false" ht="52.8" hidden="false" customHeight="false" outlineLevel="0" collapsed="false">
      <c r="A26" s="3" t="s">
        <v>155</v>
      </c>
      <c r="B26" s="3" t="s">
        <v>55</v>
      </c>
      <c r="C26" s="3" t="s">
        <v>56</v>
      </c>
      <c r="D26" s="3" t="s">
        <v>156</v>
      </c>
      <c r="E26" s="3" t="s">
        <v>157</v>
      </c>
      <c r="F26" s="3" t="s">
        <v>158</v>
      </c>
      <c r="G26" s="3" t="n">
        <v>3</v>
      </c>
      <c r="H26" s="3" t="n">
        <v>5</v>
      </c>
      <c r="I26" s="3" t="s">
        <v>19</v>
      </c>
      <c r="J26" s="3" t="s">
        <v>20</v>
      </c>
      <c r="K26" s="3" t="s">
        <v>21</v>
      </c>
      <c r="L26" s="0" t="n">
        <f aca="false">G26*H26</f>
        <v>15</v>
      </c>
      <c r="M26" s="4" t="str">
        <f aca="false">IF(I11&lt;=5,"Low",IF(I11&lt;=10,"Medium",IF(I11&lt;=15,"High","Critical")))</f>
        <v>Critical</v>
      </c>
    </row>
    <row r="27" customFormat="false" ht="39.85" hidden="false" customHeight="false" outlineLevel="0" collapsed="false">
      <c r="A27" s="3" t="s">
        <v>159</v>
      </c>
      <c r="B27" s="3" t="s">
        <v>75</v>
      </c>
      <c r="C27" s="3" t="s">
        <v>76</v>
      </c>
      <c r="D27" s="3" t="s">
        <v>160</v>
      </c>
      <c r="E27" s="3" t="s">
        <v>161</v>
      </c>
      <c r="F27" s="3" t="s">
        <v>162</v>
      </c>
      <c r="G27" s="3" t="n">
        <v>3</v>
      </c>
      <c r="H27" s="3" t="n">
        <v>4</v>
      </c>
      <c r="I27" s="3" t="s">
        <v>19</v>
      </c>
      <c r="J27" s="3" t="s">
        <v>80</v>
      </c>
      <c r="K27" s="3" t="s">
        <v>21</v>
      </c>
      <c r="L27" s="0" t="n">
        <f aca="false">G27*H27</f>
        <v>12</v>
      </c>
      <c r="M27" s="4" t="str">
        <f aca="false">IF(I11&lt;=5,"Low",IF(I11&lt;=10,"Medium",IF(I11&lt;=15,"High","Critical")))</f>
        <v>Critical</v>
      </c>
    </row>
    <row r="28" customFormat="false" ht="39.85" hidden="false" customHeight="false" outlineLevel="0" collapsed="false">
      <c r="A28" s="3" t="s">
        <v>163</v>
      </c>
      <c r="B28" s="3" t="s">
        <v>82</v>
      </c>
      <c r="C28" s="3" t="s">
        <v>83</v>
      </c>
      <c r="D28" s="3" t="s">
        <v>164</v>
      </c>
      <c r="E28" s="3" t="s">
        <v>165</v>
      </c>
      <c r="F28" s="3" t="s">
        <v>166</v>
      </c>
      <c r="G28" s="3" t="n">
        <v>3</v>
      </c>
      <c r="H28" s="3" t="n">
        <v>4</v>
      </c>
      <c r="I28" s="3" t="s">
        <v>19</v>
      </c>
      <c r="J28" s="3" t="s">
        <v>80</v>
      </c>
      <c r="K28" s="3" t="s">
        <v>21</v>
      </c>
      <c r="L28" s="0" t="n">
        <f aca="false">G28*H28</f>
        <v>12</v>
      </c>
      <c r="M28" s="4" t="str">
        <f aca="false">IF(I11&lt;=5,"Low",IF(I11&lt;=10,"Medium",IF(I11&lt;=15,"High","Critical")))</f>
        <v>Critical</v>
      </c>
    </row>
    <row r="29" customFormat="false" ht="39.85" hidden="false" customHeight="false" outlineLevel="0" collapsed="false">
      <c r="A29" s="3" t="s">
        <v>167</v>
      </c>
      <c r="B29" s="3" t="s">
        <v>168</v>
      </c>
      <c r="C29" s="3" t="s">
        <v>169</v>
      </c>
      <c r="D29" s="3" t="s">
        <v>170</v>
      </c>
      <c r="E29" s="3" t="s">
        <v>171</v>
      </c>
      <c r="F29" s="3" t="s">
        <v>172</v>
      </c>
      <c r="G29" s="3" t="n">
        <v>2</v>
      </c>
      <c r="H29" s="3" t="n">
        <v>4</v>
      </c>
      <c r="I29" s="3" t="s">
        <v>19</v>
      </c>
      <c r="J29" s="3" t="s">
        <v>173</v>
      </c>
      <c r="K29" s="3" t="s">
        <v>21</v>
      </c>
      <c r="L29" s="0" t="n">
        <f aca="false">G29*H29</f>
        <v>8</v>
      </c>
      <c r="M29" s="4" t="str">
        <f aca="false">IF(I11&lt;=5,"Low",IF(I11&lt;=10,"Medium",IF(I11&lt;=15,"High","Critical")))</f>
        <v>Critical</v>
      </c>
    </row>
    <row r="30" customFormat="false" ht="39.85" hidden="false" customHeight="false" outlineLevel="0" collapsed="false">
      <c r="A30" s="3" t="s">
        <v>174</v>
      </c>
      <c r="B30" s="3" t="s">
        <v>49</v>
      </c>
      <c r="C30" s="3" t="s">
        <v>50</v>
      </c>
      <c r="D30" s="3" t="s">
        <v>175</v>
      </c>
      <c r="E30" s="3" t="s">
        <v>176</v>
      </c>
      <c r="F30" s="3" t="s">
        <v>177</v>
      </c>
      <c r="G30" s="3" t="n">
        <v>3</v>
      </c>
      <c r="H30" s="3" t="n">
        <v>5</v>
      </c>
      <c r="I30" s="3" t="s">
        <v>19</v>
      </c>
      <c r="J30" s="3" t="s">
        <v>47</v>
      </c>
      <c r="K30" s="3" t="s">
        <v>21</v>
      </c>
      <c r="L30" s="0" t="n">
        <f aca="false">G30*H30</f>
        <v>15</v>
      </c>
      <c r="M30" s="4" t="str">
        <f aca="false">IF(I11&lt;=5,"Low",IF(I11&lt;=10,"Medium",IF(I11&lt;=15,"High","Critical")))</f>
        <v>Critical</v>
      </c>
    </row>
    <row r="31" customFormat="false" ht="65.7" hidden="false" customHeight="false" outlineLevel="0" collapsed="false">
      <c r="A31" s="3" t="s">
        <v>178</v>
      </c>
      <c r="B31" s="3" t="s">
        <v>95</v>
      </c>
      <c r="C31" s="3" t="s">
        <v>96</v>
      </c>
      <c r="D31" s="3" t="s">
        <v>179</v>
      </c>
      <c r="E31" s="3" t="s">
        <v>180</v>
      </c>
      <c r="F31" s="3" t="s">
        <v>181</v>
      </c>
      <c r="G31" s="3" t="n">
        <v>3</v>
      </c>
      <c r="H31" s="3" t="n">
        <v>5</v>
      </c>
      <c r="I31" s="3" t="s">
        <v>19</v>
      </c>
      <c r="J31" s="3" t="s">
        <v>80</v>
      </c>
      <c r="K31" s="3" t="s">
        <v>21</v>
      </c>
      <c r="L31" s="0" t="n">
        <f aca="false">G31*H31</f>
        <v>15</v>
      </c>
      <c r="M31" s="4" t="str">
        <f aca="false">IF(I11&lt;=5,"Low",IF(I11&lt;=10,"Medium",IF(I11&lt;=15,"High","Critical")))</f>
        <v>Critical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customHeight="false" zeroHeight="false" outlineLevelRow="0" outlineLevelCol="0"/>
  <cols>
    <col collapsed="false" customWidth="true" hidden="false" outlineLevel="0" max="1" min="1" style="0" width="14.43"/>
    <col collapsed="false" customWidth="true" hidden="false" outlineLevel="0" max="2" min="2" style="0" width="17"/>
  </cols>
  <sheetData>
    <row r="1" customFormat="false" ht="15" hidden="false" customHeight="false" outlineLevel="0" collapsed="false">
      <c r="A1" s="1" t="s">
        <v>182</v>
      </c>
      <c r="B1" s="1" t="s">
        <v>183</v>
      </c>
    </row>
    <row r="2" customFormat="false" ht="15" hidden="false" customHeight="false" outlineLevel="0" collapsed="false">
      <c r="A2" s="0" t="s">
        <v>184</v>
      </c>
      <c r="B2" s="0" t="n">
        <v>3</v>
      </c>
    </row>
    <row r="3" customFormat="false" ht="15" hidden="false" customHeight="false" outlineLevel="0" collapsed="false">
      <c r="A3" s="0" t="s">
        <v>27</v>
      </c>
      <c r="B3" s="0" t="n">
        <v>6</v>
      </c>
    </row>
    <row r="4" customFormat="false" ht="15" hidden="false" customHeight="false" outlineLevel="0" collapsed="false">
      <c r="A4" s="0" t="s">
        <v>66</v>
      </c>
      <c r="B4" s="0" t="n">
        <v>1</v>
      </c>
    </row>
    <row r="5" customFormat="false" ht="15" hidden="false" customHeight="false" outlineLevel="0" collapsed="false">
      <c r="A5" s="0" t="s">
        <v>185</v>
      </c>
      <c r="B5" s="0" t="n">
        <v>0</v>
      </c>
    </row>
    <row r="6" customFormat="false" ht="15" hidden="false" customHeight="false" outlineLevel="0" collapsed="false">
      <c r="A6" s="1" t="s">
        <v>186</v>
      </c>
      <c r="B6" s="1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customHeight="false" zeroHeight="false" outlineLevelRow="0" outlineLevelCol="0"/>
  <cols>
    <col collapsed="false" customWidth="true" hidden="false" outlineLevel="0" max="1" min="1" style="0" width="18.29"/>
  </cols>
  <sheetData>
    <row r="1" customFormat="false" ht="15" hidden="false" customHeight="false" outlineLevel="0" collapsed="false">
      <c r="A1" s="1" t="s">
        <v>187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 customFormat="false" ht="15" hidden="false" customHeight="false" outlineLevel="0" collapsed="false">
      <c r="A2" s="1" t="s">
        <v>188</v>
      </c>
      <c r="B2" s="0" t="n">
        <v>5</v>
      </c>
      <c r="C2" s="0" t="n">
        <v>10</v>
      </c>
      <c r="D2" s="0" t="n">
        <v>15</v>
      </c>
      <c r="E2" s="0" t="n">
        <v>20</v>
      </c>
      <c r="F2" s="0" t="n">
        <v>25</v>
      </c>
    </row>
    <row r="3" customFormat="false" ht="15" hidden="false" customHeight="false" outlineLevel="0" collapsed="false">
      <c r="A3" s="1" t="s">
        <v>189</v>
      </c>
      <c r="B3" s="0" t="n">
        <v>4</v>
      </c>
      <c r="C3" s="0" t="n">
        <v>8</v>
      </c>
      <c r="D3" s="0" t="n">
        <v>12</v>
      </c>
      <c r="E3" s="0" t="n">
        <v>16</v>
      </c>
      <c r="F3" s="0" t="n">
        <v>20</v>
      </c>
    </row>
    <row r="4" customFormat="false" ht="15" hidden="false" customHeight="false" outlineLevel="0" collapsed="false">
      <c r="A4" s="1" t="s">
        <v>190</v>
      </c>
      <c r="B4" s="0" t="n">
        <v>3</v>
      </c>
      <c r="C4" s="0" t="n">
        <v>6</v>
      </c>
      <c r="D4" s="0" t="n">
        <v>9</v>
      </c>
      <c r="E4" s="0" t="n">
        <v>12</v>
      </c>
      <c r="F4" s="0" t="n">
        <v>15</v>
      </c>
    </row>
    <row r="5" customFormat="false" ht="15" hidden="false" customHeight="false" outlineLevel="0" collapsed="false">
      <c r="A5" s="1" t="s">
        <v>191</v>
      </c>
      <c r="B5" s="0" t="n">
        <v>2</v>
      </c>
      <c r="C5" s="0" t="n">
        <v>4</v>
      </c>
      <c r="D5" s="0" t="n">
        <v>6</v>
      </c>
      <c r="E5" s="0" t="n">
        <v>8</v>
      </c>
      <c r="F5" s="0" t="n">
        <v>10</v>
      </c>
    </row>
    <row r="6" customFormat="false" ht="15" hidden="false" customHeight="false" outlineLevel="0" collapsed="false">
      <c r="A6" s="1" t="s">
        <v>192</v>
      </c>
      <c r="B6" s="0" t="n">
        <v>1</v>
      </c>
      <c r="C6" s="0" t="n">
        <v>2</v>
      </c>
      <c r="D6" s="0" t="n">
        <v>3</v>
      </c>
      <c r="E6" s="0" t="n">
        <v>4</v>
      </c>
      <c r="F6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customHeight="false" zeroHeight="false" outlineLevelRow="0" outlineLevelCol="0"/>
  <sheetData>
    <row r="1" customFormat="false" ht="14" hidden="false" customHeight="false" outlineLevel="0" collapsed="false">
      <c r="A1" s="5" t="s">
        <v>193</v>
      </c>
      <c r="B1" s="5" t="s">
        <v>0</v>
      </c>
      <c r="C1" s="5" t="s">
        <v>194</v>
      </c>
      <c r="D1" s="5" t="s">
        <v>11</v>
      </c>
    </row>
    <row r="2" customFormat="false" ht="52.8" hidden="false" customHeight="false" outlineLevel="0" collapsed="false">
      <c r="A2" s="3" t="n">
        <v>1</v>
      </c>
      <c r="B2" s="3" t="s">
        <v>13</v>
      </c>
      <c r="C2" s="3" t="s">
        <v>195</v>
      </c>
      <c r="D2" s="3" t="n">
        <v>20</v>
      </c>
    </row>
    <row r="3" customFormat="false" ht="39.85" hidden="false" customHeight="false" outlineLevel="0" collapsed="false">
      <c r="A3" s="3" t="n">
        <v>2</v>
      </c>
      <c r="B3" s="3" t="s">
        <v>35</v>
      </c>
      <c r="C3" s="3" t="s">
        <v>196</v>
      </c>
      <c r="D3" s="3" t="n">
        <v>20</v>
      </c>
    </row>
    <row r="4" customFormat="false" ht="39.85" hidden="false" customHeight="false" outlineLevel="0" collapsed="false">
      <c r="A4" s="3" t="n">
        <v>3</v>
      </c>
      <c r="B4" s="3" t="s">
        <v>151</v>
      </c>
      <c r="C4" s="3" t="s">
        <v>197</v>
      </c>
      <c r="D4" s="3" t="n">
        <v>20</v>
      </c>
    </row>
    <row r="5" customFormat="false" ht="26.95" hidden="false" customHeight="false" outlineLevel="0" collapsed="false">
      <c r="A5" s="3" t="n">
        <v>4</v>
      </c>
      <c r="B5" s="3" t="s">
        <v>74</v>
      </c>
      <c r="C5" s="3" t="s">
        <v>198</v>
      </c>
      <c r="D5" s="3" t="n">
        <v>16</v>
      </c>
    </row>
    <row r="6" customFormat="false" ht="14" hidden="false" customHeight="false" outlineLevel="0" collapsed="false">
      <c r="A6" s="3" t="n">
        <v>5</v>
      </c>
      <c r="B6" s="3" t="s">
        <v>117</v>
      </c>
      <c r="C6" s="3" t="s">
        <v>199</v>
      </c>
      <c r="D6" s="3" t="n">
        <v>15</v>
      </c>
    </row>
    <row r="7" customFormat="false" ht="26.95" hidden="false" customHeight="false" outlineLevel="0" collapsed="false">
      <c r="A7" s="3" t="n">
        <v>6</v>
      </c>
      <c r="B7" s="3" t="s">
        <v>143</v>
      </c>
      <c r="C7" s="3" t="s">
        <v>200</v>
      </c>
      <c r="D7" s="3" t="n">
        <v>15</v>
      </c>
    </row>
    <row r="8" customFormat="false" ht="26.95" hidden="false" customHeight="false" outlineLevel="0" collapsed="false">
      <c r="A8" s="3" t="n">
        <v>7</v>
      </c>
      <c r="B8" s="3" t="s">
        <v>147</v>
      </c>
      <c r="C8" s="3" t="s">
        <v>201</v>
      </c>
      <c r="D8" s="3" t="n">
        <v>15</v>
      </c>
    </row>
    <row r="9" customFormat="false" ht="26.95" hidden="false" customHeight="false" outlineLevel="0" collapsed="false">
      <c r="A9" s="3" t="n">
        <v>8</v>
      </c>
      <c r="B9" s="3" t="s">
        <v>174</v>
      </c>
      <c r="C9" s="3" t="s">
        <v>202</v>
      </c>
      <c r="D9" s="3" t="n">
        <v>15</v>
      </c>
    </row>
    <row r="10" customFormat="false" ht="26.95" hidden="false" customHeight="false" outlineLevel="0" collapsed="false">
      <c r="A10" s="3" t="n">
        <v>9</v>
      </c>
      <c r="B10" s="3" t="s">
        <v>178</v>
      </c>
      <c r="C10" s="3" t="s">
        <v>203</v>
      </c>
      <c r="D10" s="3" t="n">
        <v>15</v>
      </c>
    </row>
    <row r="11" customFormat="false" ht="26.95" hidden="false" customHeight="false" outlineLevel="0" collapsed="false">
      <c r="A11" s="3" t="n">
        <v>10</v>
      </c>
      <c r="B11" s="3" t="s">
        <v>155</v>
      </c>
      <c r="C11" s="3" t="s">
        <v>204</v>
      </c>
      <c r="D11" s="3" t="n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1Doc/1.5.0.$MacOSX_AARCH64 LibreOffice_project/dce796695b3731448f3bdb9242641cf137aae328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2026-09-24T17:56:23Z</dcterms:created>
  <dc:creator/>
  <dc:description/>
  <dc:language>en-IN</dc:language>
  <cp:lastModifiedBy/>
  <dcterms:modified xsi:type="dcterms:W3CDTF">2026-09-26T00:19:35Z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