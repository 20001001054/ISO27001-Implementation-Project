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F85FF89-7B9D-47F7-9BCC-955FB479EE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Treatment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<sst xmlns="http://schemas.openxmlformats.org/spreadsheetml/2006/main" count="105" uniqueCount="65">
  <si>
    <t>Risk ID</t>
  </si>
  <si>
    <t>Risk Description</t>
  </si>
  <si>
    <t>Current Score</t>
  </si>
  <si>
    <t>Risk Level</t>
  </si>
  <si>
    <t>Treatment Strategy</t>
  </si>
  <si>
    <t>Planned Control</t>
  </si>
  <si>
    <t>Control Owner</t>
  </si>
  <si>
    <t>Target Date</t>
  </si>
  <si>
    <t>Residual Likelihood</t>
  </si>
  <si>
    <t>Residual Impact</t>
  </si>
  <si>
    <t>Residual Score</t>
  </si>
  <si>
    <t>Status</t>
  </si>
  <si>
    <t>R001</t>
  </si>
  <si>
    <t>Unauthorized access to customer database</t>
  </si>
  <si>
    <t>Critical</t>
  </si>
  <si>
    <t>Mitigate</t>
  </si>
  <si>
    <t>Quarterly privileged access reviews and PAM solution</t>
  </si>
  <si>
    <t>Security Manager</t>
  </si>
  <si>
    <t>Planned</t>
  </si>
  <si>
    <t>R004</t>
  </si>
  <si>
    <t>Web application attack</t>
  </si>
  <si>
    <t>Secure SDLC, SAST, DAST and annual penetration testing</t>
  </si>
  <si>
    <t>Engineering Manager</t>
  </si>
  <si>
    <t>R024</t>
  </si>
  <si>
    <t>Cloud misconfiguration</t>
  </si>
  <si>
    <t>Cloud configuration monitoring and security baselines</t>
  </si>
  <si>
    <t>Cloud Manager</t>
  </si>
  <si>
    <t>R010</t>
  </si>
  <si>
    <t>Employee phishing attack</t>
  </si>
  <si>
    <t>Security awareness training and phishing simulations</t>
  </si>
  <si>
    <t>IT Manager</t>
  </si>
  <si>
    <t>In Progress</t>
  </si>
  <si>
    <t>R017</t>
  </si>
  <si>
    <t>DDoS attack on customer portal</t>
  </si>
  <si>
    <t>High</t>
  </si>
  <si>
    <t>AWS WAF and DDoS protection</t>
  </si>
  <si>
    <t>R022</t>
  </si>
  <si>
    <t>GDPR violation</t>
  </si>
  <si>
    <t>Data retention reviews and privacy impact assessments</t>
  </si>
  <si>
    <t>Compliance Manager</t>
  </si>
  <si>
    <t>R023</t>
  </si>
  <si>
    <t>Transaction fraud</t>
  </si>
  <si>
    <t>Fraud monitoring and transaction anomaly detection</t>
  </si>
  <si>
    <t>Operations Manager</t>
  </si>
  <si>
    <t>R029</t>
  </si>
  <si>
    <t>Database outage</t>
  </si>
  <si>
    <t>High-availability architecture and failover testing</t>
  </si>
  <si>
    <t>R030</t>
  </si>
  <si>
    <t>Backup compromise</t>
  </si>
  <si>
    <t>Immutable backups and backup environment segregation</t>
  </si>
  <si>
    <t>R025</t>
  </si>
  <si>
    <t>Privilege escalation</t>
  </si>
  <si>
    <t>Role-based access control and least privilege reviews</t>
  </si>
  <si>
    <t>c</t>
  </si>
  <si>
    <t>Category</t>
  </si>
  <si>
    <t>Value</t>
  </si>
  <si>
    <t>Before</t>
  </si>
  <si>
    <t>After</t>
  </si>
  <si>
    <t>Total Risks Identified</t>
  </si>
  <si>
    <t>Critical Risks</t>
  </si>
  <si>
    <t>High Risks</t>
  </si>
  <si>
    <t>Risks Selected For Treatment</t>
  </si>
  <si>
    <t>Residual Critical Risks</t>
  </si>
  <si>
    <t>Residual High Risks</t>
  </si>
  <si>
    <t>Residual Medium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</si>
</sst>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E1" workbookViewId="0">
      <selection activeCell="L10" sqref="L10"/>
    </sheetView>
  </sheetViews>
  <sheetFormatPr defaultRowHeight="15"/>
  <cols>
    <col min="2" max="2" width="16.85546875" customWidth="1"/>
    <col min="3" max="3" width="15.85546875" customWidth="1"/>
    <col min="4" max="4" width="16.28515625" customWidth="1"/>
    <col min="5" max="5" width="20.7109375" customWidth="1"/>
    <col min="6" max="6" width="58" customWidth="1"/>
    <col min="7" max="7" width="17.7109375" customWidth="1"/>
    <col min="8" max="8" width="17.28515625" customWidth="1"/>
    <col min="9" max="9" width="19.5703125" customWidth="1"/>
    <col min="10" max="10" width="16.5703125" customWidth="1"/>
    <col min="11" max="11" width="1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20</v>
      </c>
      <c r="D2" t="s">
        <v>14</v>
      </c>
      <c r="E2" t="s">
        <v>15</v>
      </c>
      <c r="F2" t="s">
        <v>16</v>
      </c>
      <c r="G2" t="s">
        <v>17</v>
      </c>
      <c r="H2" s="2">
        <v>46387</v>
      </c>
      <c r="I2">
        <v>2</v>
      </c>
      <c r="J2">
        <v>5</v>
      </c>
      <c r="K2">
        <f>I2*J2</f>
        <v>10</v>
      </c>
      <c r="L2" t="s">
        <v>18</v>
      </c>
    </row>
    <row r="3" spans="1:12">
      <c r="A3" t="s">
        <v>19</v>
      </c>
      <c r="B3" t="s">
        <v>20</v>
      </c>
      <c r="C3">
        <v>20</v>
      </c>
      <c r="D3" t="s">
        <v>14</v>
      </c>
      <c r="E3" t="s">
        <v>15</v>
      </c>
      <c r="F3" t="s">
        <v>21</v>
      </c>
      <c r="G3" t="s">
        <v>22</v>
      </c>
      <c r="H3" s="2">
        <v>46388</v>
      </c>
      <c r="I3">
        <v>2</v>
      </c>
      <c r="J3">
        <v>5</v>
      </c>
      <c r="K3">
        <f t="shared" ref="K3:K11" si="0">I3*J3</f>
        <v>10</v>
      </c>
      <c r="L3" t="s">
        <v>18</v>
      </c>
    </row>
    <row r="4" spans="1:12">
      <c r="A4" t="s">
        <v>23</v>
      </c>
      <c r="B4" t="s">
        <v>24</v>
      </c>
      <c r="C4">
        <v>20</v>
      </c>
      <c r="D4" t="s">
        <v>14</v>
      </c>
      <c r="E4" t="s">
        <v>15</v>
      </c>
      <c r="F4" t="s">
        <v>25</v>
      </c>
      <c r="G4" t="s">
        <v>26</v>
      </c>
      <c r="H4" s="2">
        <v>46389</v>
      </c>
      <c r="I4">
        <v>2</v>
      </c>
      <c r="J4">
        <v>5</v>
      </c>
      <c r="K4">
        <f t="shared" si="0"/>
        <v>10</v>
      </c>
      <c r="L4" t="s">
        <v>18</v>
      </c>
    </row>
    <row r="5" spans="1:12">
      <c r="A5" t="s">
        <v>27</v>
      </c>
      <c r="B5" t="s">
        <v>28</v>
      </c>
      <c r="C5">
        <v>16</v>
      </c>
      <c r="D5" t="s">
        <v>14</v>
      </c>
      <c r="E5" t="s">
        <v>15</v>
      </c>
      <c r="F5" t="s">
        <v>29</v>
      </c>
      <c r="G5" t="s">
        <v>30</v>
      </c>
      <c r="H5" s="2">
        <v>46390</v>
      </c>
      <c r="I5">
        <v>2</v>
      </c>
      <c r="J5">
        <v>4</v>
      </c>
      <c r="K5">
        <f t="shared" si="0"/>
        <v>8</v>
      </c>
      <c r="L5" t="s">
        <v>31</v>
      </c>
    </row>
    <row r="6" spans="1:12">
      <c r="A6" t="s">
        <v>32</v>
      </c>
      <c r="B6" t="s">
        <v>33</v>
      </c>
      <c r="C6">
        <v>15</v>
      </c>
      <c r="D6" t="s">
        <v>34</v>
      </c>
      <c r="E6" t="s">
        <v>15</v>
      </c>
      <c r="F6" t="s">
        <v>35</v>
      </c>
      <c r="G6" t="s">
        <v>22</v>
      </c>
      <c r="H6" s="2">
        <v>46391</v>
      </c>
      <c r="I6">
        <v>2</v>
      </c>
      <c r="J6">
        <v>5</v>
      </c>
      <c r="K6">
        <f t="shared" si="0"/>
        <v>10</v>
      </c>
      <c r="L6" t="s">
        <v>18</v>
      </c>
    </row>
    <row r="7" spans="1:12">
      <c r="A7" t="s">
        <v>36</v>
      </c>
      <c r="B7" t="s">
        <v>37</v>
      </c>
      <c r="C7">
        <v>15</v>
      </c>
      <c r="D7" t="s">
        <v>34</v>
      </c>
      <c r="E7" t="s">
        <v>15</v>
      </c>
      <c r="F7" t="s">
        <v>38</v>
      </c>
      <c r="G7" t="s">
        <v>39</v>
      </c>
      <c r="H7" s="2">
        <v>46392</v>
      </c>
      <c r="I7">
        <v>2</v>
      </c>
      <c r="J7">
        <v>5</v>
      </c>
      <c r="K7">
        <f t="shared" si="0"/>
        <v>10</v>
      </c>
      <c r="L7" t="s">
        <v>18</v>
      </c>
    </row>
    <row r="8" spans="1:12">
      <c r="A8" t="s">
        <v>40</v>
      </c>
      <c r="B8" t="s">
        <v>41</v>
      </c>
      <c r="C8">
        <v>15</v>
      </c>
      <c r="D8" t="s">
        <v>34</v>
      </c>
      <c r="E8" t="s">
        <v>15</v>
      </c>
      <c r="F8" t="s">
        <v>42</v>
      </c>
      <c r="G8" t="s">
        <v>43</v>
      </c>
      <c r="H8" s="2">
        <v>46393</v>
      </c>
      <c r="I8">
        <v>2</v>
      </c>
      <c r="J8">
        <v>5</v>
      </c>
      <c r="K8">
        <f t="shared" si="0"/>
        <v>10</v>
      </c>
      <c r="L8" t="s">
        <v>18</v>
      </c>
    </row>
    <row r="9" spans="1:12">
      <c r="A9" t="s">
        <v>44</v>
      </c>
      <c r="B9" t="s">
        <v>45</v>
      </c>
      <c r="C9">
        <v>15</v>
      </c>
      <c r="D9" t="s">
        <v>34</v>
      </c>
      <c r="E9" t="s">
        <v>15</v>
      </c>
      <c r="F9" t="s">
        <v>46</v>
      </c>
      <c r="G9" t="s">
        <v>26</v>
      </c>
      <c r="H9" s="2">
        <v>46394</v>
      </c>
      <c r="I9">
        <v>2</v>
      </c>
      <c r="J9">
        <v>5</v>
      </c>
      <c r="K9">
        <f t="shared" si="0"/>
        <v>10</v>
      </c>
      <c r="L9" t="s">
        <v>31</v>
      </c>
    </row>
    <row r="10" spans="1:12">
      <c r="A10" t="s">
        <v>47</v>
      </c>
      <c r="B10" t="s">
        <v>48</v>
      </c>
      <c r="C10">
        <v>15</v>
      </c>
      <c r="D10" t="s">
        <v>34</v>
      </c>
      <c r="E10" t="s">
        <v>15</v>
      </c>
      <c r="F10" t="s">
        <v>49</v>
      </c>
      <c r="G10" t="s">
        <v>30</v>
      </c>
      <c r="H10" s="2">
        <v>46395</v>
      </c>
      <c r="I10">
        <v>2</v>
      </c>
      <c r="J10">
        <v>5</v>
      </c>
      <c r="K10">
        <f t="shared" si="0"/>
        <v>10</v>
      </c>
      <c r="L10" t="s">
        <v>18</v>
      </c>
    </row>
    <row r="11" spans="1:12">
      <c r="A11" t="s">
        <v>50</v>
      </c>
      <c r="B11" t="s">
        <v>51</v>
      </c>
      <c r="C11">
        <v>15</v>
      </c>
      <c r="D11" t="s">
        <v>34</v>
      </c>
      <c r="E11" t="s">
        <v>15</v>
      </c>
      <c r="F11" t="s">
        <v>52</v>
      </c>
      <c r="G11" t="s">
        <v>17</v>
      </c>
      <c r="H11" s="2">
        <v>46396</v>
      </c>
      <c r="I11">
        <v>2</v>
      </c>
      <c r="J11">
        <v>5</v>
      </c>
      <c r="K11">
        <f t="shared" si="0"/>
        <v>10</v>
      </c>
      <c r="L11" t="s">
        <v>18</v>
      </c>
    </row>
    <row r="12" spans="1:12">
      <c r="H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9D16-0298-4360-933D-796C47B02331}">
  <dimension ref="A1:H11"/>
  <sheetViews>
    <sheetView workbookViewId="0">
      <selection activeCell="K5" sqref="K5"/>
    </sheetView>
  </sheetViews>
  <sheetFormatPr defaultRowHeight="15"/>
  <cols>
    <col min="1" max="1" width="29.7109375" customWidth="1"/>
    <col min="2" max="2" width="11" customWidth="1"/>
  </cols>
  <sheetData>
    <row r="1" spans="1:8">
      <c r="A1" s="1" t="s">
        <v>54</v>
      </c>
      <c r="B1" s="1" t="s">
        <v>55</v>
      </c>
      <c r="F1" s="1" t="s">
        <v>0</v>
      </c>
      <c r="G1" s="1" t="s">
        <v>56</v>
      </c>
      <c r="H1" s="1" t="s">
        <v>57</v>
      </c>
    </row>
    <row r="2" spans="1:8">
      <c r="A2" t="s">
        <v>58</v>
      </c>
      <c r="B2">
        <v>30</v>
      </c>
      <c r="F2" t="s">
        <v>12</v>
      </c>
      <c r="G2">
        <v>20</v>
      </c>
      <c r="H2">
        <v>10</v>
      </c>
    </row>
    <row r="3" spans="1:8">
      <c r="A3" t="s">
        <v>59</v>
      </c>
      <c r="B3">
        <v>8</v>
      </c>
      <c r="F3" t="s">
        <v>19</v>
      </c>
      <c r="G3">
        <v>20</v>
      </c>
      <c r="H3">
        <v>10</v>
      </c>
    </row>
    <row r="4" spans="1:8">
      <c r="A4" t="s">
        <v>60</v>
      </c>
      <c r="B4">
        <v>18</v>
      </c>
      <c r="F4" t="s">
        <v>23</v>
      </c>
      <c r="G4">
        <v>20</v>
      </c>
      <c r="H4">
        <v>10</v>
      </c>
    </row>
    <row r="5" spans="1:8">
      <c r="A5" t="s">
        <v>61</v>
      </c>
      <c r="B5">
        <v>10</v>
      </c>
      <c r="F5" t="s">
        <v>27</v>
      </c>
      <c r="G5">
        <v>16</v>
      </c>
      <c r="H5">
        <v>8</v>
      </c>
    </row>
    <row r="6" spans="1:8">
      <c r="A6" t="s">
        <v>62</v>
      </c>
      <c r="B6">
        <v>0</v>
      </c>
      <c r="F6" t="s">
        <v>32</v>
      </c>
      <c r="G6">
        <v>15</v>
      </c>
      <c r="H6">
        <v>10</v>
      </c>
    </row>
    <row r="7" spans="1:8">
      <c r="A7" t="s">
        <v>63</v>
      </c>
      <c r="B7">
        <v>0</v>
      </c>
      <c r="F7" t="s">
        <v>36</v>
      </c>
      <c r="G7">
        <v>15</v>
      </c>
      <c r="H7">
        <v>10</v>
      </c>
    </row>
    <row r="8" spans="1:8">
      <c r="A8" t="s">
        <v>64</v>
      </c>
      <c r="B8">
        <v>10</v>
      </c>
      <c r="F8" t="s">
        <v>40</v>
      </c>
      <c r="G8">
        <v>15</v>
      </c>
      <c r="H8">
        <v>10</v>
      </c>
    </row>
    <row r="9" spans="1:8">
      <c r="F9" t="s">
        <v>44</v>
      </c>
      <c r="G9">
        <v>15</v>
      </c>
      <c r="H9">
        <v>10</v>
      </c>
    </row>
    <row r="10" spans="1:8">
      <c r="F10" t="s">
        <v>47</v>
      </c>
      <c r="G10">
        <v>15</v>
      </c>
      <c r="H10">
        <v>10</v>
      </c>
    </row>
    <row r="11" spans="1:8">
      <c r="F11" t="s">
        <v>50</v>
      </c>
      <c r="G11">
        <v>15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2026-09-25T23:21:12Z</dcterms:created>
  <dcterms:modified xsi:type="dcterms:W3CDTF">2026-09-25T23:30:06Z</dcterms:modified>
  <cp:category/>
  <cp:contentStatus/>
</cp:coreProperties>
</file>